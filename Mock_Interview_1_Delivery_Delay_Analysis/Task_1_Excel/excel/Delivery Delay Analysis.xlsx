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itud\Downloads\Task_1_Excel\excel\"/>
    </mc:Choice>
  </mc:AlternateContent>
  <bookViews>
    <workbookView xWindow="0" yWindow="0" windowWidth="28800" windowHeight="12300" activeTab="3"/>
  </bookViews>
  <sheets>
    <sheet name="Raw" sheetId="1" r:id="rId1"/>
    <sheet name="Lookup" sheetId="2" r:id="rId2"/>
    <sheet name="Clean" sheetId="3" r:id="rId3"/>
    <sheet name="Summary" sheetId="4" r:id="rId4"/>
  </sheets>
  <definedNames>
    <definedName name="_xlnm._FilterDatabase" localSheetId="2" hidden="1">Clean!$A$1:$H$13</definedName>
    <definedName name="_xlnm._FilterDatabase" localSheetId="1" hidden="1">Lookup!$A$1:$C$5</definedName>
    <definedName name="_xlnm._FilterDatabase" localSheetId="0" hidden="1">Raw!$A$1:$F$14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4" l="1"/>
  <c r="B5" i="4"/>
  <c r="B4" i="4"/>
  <c r="H13" i="3"/>
  <c r="G13" i="3"/>
  <c r="H12" i="3"/>
  <c r="G12" i="3"/>
  <c r="H11" i="3"/>
  <c r="G11" i="3"/>
  <c r="H10" i="3"/>
  <c r="G10" i="3"/>
  <c r="H9" i="3"/>
  <c r="G9" i="3"/>
  <c r="H8" i="3"/>
  <c r="G8" i="3"/>
  <c r="K7" i="3"/>
  <c r="H7" i="3"/>
  <c r="G7" i="3"/>
  <c r="K6" i="3"/>
  <c r="H6" i="3"/>
  <c r="G6" i="3"/>
  <c r="H5" i="3"/>
  <c r="G5" i="3"/>
  <c r="H4" i="3"/>
  <c r="G4" i="3"/>
  <c r="K3" i="3"/>
  <c r="H3" i="3"/>
  <c r="G3" i="3"/>
  <c r="K2" i="3"/>
  <c r="K4" i="3" s="1"/>
  <c r="H2" i="3"/>
  <c r="G2" i="3"/>
</calcChain>
</file>

<file path=xl/sharedStrings.xml><?xml version="1.0" encoding="utf-8"?>
<sst xmlns="http://schemas.openxmlformats.org/spreadsheetml/2006/main" count="129" uniqueCount="39">
  <si>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</si>
  <si>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</si>
  <si>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</si>
  <si>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</si>
  <si>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</si>
  <si>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</si>
  <si>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</si>
  <si>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</si>
  <si>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</si>
  <si>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</si>
  <si>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</si>
  <si>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</si>
  <si>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</si>
  <si>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</si>
  <si>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</si>
  <si>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</si>
  <si>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</si>
  <si>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</si>
  <si>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</si>
  <si>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</si>
  <si>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</si>
  <si>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</si>
  <si>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</si>
  <si>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</si>
  <si>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</si>
  <si>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Cleaning Check</t>
  </si>
  <si>
    <t>Before row count</t>
  </si>
  <si>
    <t>After row count</t>
  </si>
  <si>
    <t>Duplicate rows removed</t>
  </si>
  <si>
    <t>Original row count (Raw)</t>
  </si>
  <si>
    <t>Clean unique row count</t>
  </si>
  <si>
    <t>Hub Summary — Total Delay Days</t>
  </si>
  <si>
    <t>PivotTable — Delay Days by Service Type and Month</t>
  </si>
  <si>
    <t>Hub</t>
  </si>
  <si>
    <t>Total delay_days</t>
  </si>
  <si>
    <t>Filter</t>
  </si>
  <si>
    <t>Sum - delay_days</t>
  </si>
  <si>
    <t>Total Result</t>
  </si>
  <si>
    <t>Pivot layout: rows = service_type; columns = month (Jan → Feb → Mar); values = SUM(delay_days).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</si>
</sst>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4"/>
      <color rgb="FFFFFFFF"/>
      <name val="Cambria"/>
      <charset val="1"/>
    </font>
    <font>
      <i/>
      <sz val="11"/>
      <color rgb="FF666666"/>
      <name val="Cambria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</fills>
  <borders count="2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6" fillId="0" borderId="0" applyBorder="0" applyProtection="0">
      <alignment horizontal="left"/>
    </xf>
    <xf numFmtId="0" fontId="6" fillId="0" borderId="0" applyBorder="0" applyProtection="0"/>
    <xf numFmtId="0" fontId="6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6" fillId="0" borderId="0" applyBorder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" fontId="0" fillId="0" borderId="1" xfId="0" applyNumberFormat="1" applyBorder="1"/>
    <xf numFmtId="0" fontId="3" fillId="3" borderId="0" xfId="0" applyFont="1" applyFill="1"/>
    <xf numFmtId="1" fontId="0" fillId="0" borderId="0" xfId="0" applyNumberFormat="1"/>
    <xf numFmtId="0" fontId="3" fillId="4" borderId="0" xfId="0" applyFont="1" applyFill="1"/>
    <xf numFmtId="0" fontId="0" fillId="3" borderId="0" xfId="0" applyFill="1"/>
    <xf numFmtId="1" fontId="0" fillId="4" borderId="0" xfId="0" applyNumberFormat="1" applyFill="1"/>
    <xf numFmtId="0" fontId="6" fillId="0" borderId="2" xfId="2" applyBorder="1"/>
    <xf numFmtId="0" fontId="6" fillId="0" borderId="3" xfId="3" applyBorder="1"/>
    <xf numFmtId="0" fontId="6" fillId="0" borderId="4" xfId="2" applyBorder="1"/>
    <xf numFmtId="0" fontId="6" fillId="0" borderId="5" xfId="2" applyBorder="1"/>
    <xf numFmtId="0" fontId="6" fillId="0" borderId="6" xfId="3" applyBorder="1"/>
    <xf numFmtId="0" fontId="6" fillId="0" borderId="7" xfId="1" applyBorder="1">
      <alignment horizontal="left"/>
    </xf>
    <xf numFmtId="0" fontId="6" fillId="0" borderId="8" xfId="1" applyBorder="1">
      <alignment horizontal="left"/>
    </xf>
    <xf numFmtId="0" fontId="1" fillId="0" borderId="9" xfId="5" applyBorder="1">
      <alignment horizontal="left"/>
    </xf>
    <xf numFmtId="0" fontId="6" fillId="0" borderId="10" xfId="1" applyBorder="1">
      <alignment horizontal="left"/>
    </xf>
    <xf numFmtId="1" fontId="6" fillId="0" borderId="11" xfId="6" applyNumberFormat="1" applyBorder="1"/>
    <xf numFmtId="1" fontId="6" fillId="0" borderId="12" xfId="6" applyNumberFormat="1" applyBorder="1"/>
    <xf numFmtId="1" fontId="6" fillId="0" borderId="13" xfId="6" applyNumberFormat="1" applyBorder="1"/>
    <xf numFmtId="1" fontId="1" fillId="0" borderId="14" xfId="4" applyNumberFormat="1" applyBorder="1"/>
    <xf numFmtId="0" fontId="5" fillId="0" borderId="0" xfId="0" applyFont="1"/>
    <xf numFmtId="0" fontId="6" fillId="0" borderId="15" xfId="1" applyBorder="1">
      <alignment horizontal="left"/>
    </xf>
    <xf numFmtId="1" fontId="6" fillId="0" borderId="7" xfId="6" applyNumberFormat="1" applyBorder="1"/>
    <xf numFmtId="1" fontId="6" fillId="0" borderId="8" xfId="6" applyNumberFormat="1" applyBorder="1"/>
    <xf numFmtId="1" fontId="6" fillId="0" borderId="16" xfId="6" applyNumberFormat="1" applyBorder="1"/>
    <xf numFmtId="1" fontId="1" fillId="0" borderId="17" xfId="4" applyNumberFormat="1" applyBorder="1"/>
    <xf numFmtId="0" fontId="1" fillId="0" borderId="18" xfId="5" applyBorder="1">
      <alignment horizontal="left"/>
    </xf>
    <xf numFmtId="1" fontId="1" fillId="0" borderId="19" xfId="4" applyNumberFormat="1" applyBorder="1"/>
    <xf numFmtId="1" fontId="1" fillId="0" borderId="20" xfId="4" applyNumberFormat="1" applyBorder="1"/>
    <xf numFmtId="1" fontId="1" fillId="0" borderId="21" xfId="4" applyNumberFormat="1" applyBorder="1"/>
    <xf numFmtId="1" fontId="1" fillId="0" borderId="22" xfId="4" applyNumberFormat="1" applyBorder="1"/>
    <xf numFmtId="0" fontId="4" fillId="2" borderId="0" xfId="0" applyFont="1" applyFill="1"/>
  </cellXfs>
  <cellStyles count="7">
    <cellStyle name="Normal" xfId="0" builtinId="0"/>
    <cellStyle name="Pivot Table Category" xfId="1"/>
    <cellStyle name="Pivot Table Corner" xfId="2"/>
    <cellStyle name="Pivot Table Field" xfId="3"/>
    <cellStyle name="Pivot Table Result" xfId="4"/>
    <cellStyle name="Pivot Table Title" xfId="5"/>
    <cellStyle name="Pivot Table Value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Total Delay Days by Service Type and Month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Summary!$E$3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Summary!$D$4:$D$5</c:f>
              <c:strCache>
                <c:ptCount val="2"/>
                <c:pt idx="1">
                  <c:v>Sum - delay_days</c:v>
                </c:pt>
              </c:strCache>
            </c:strRef>
          </c:cat>
          <c:val>
            <c:numRef>
              <c:f>Summary!$E$4:$E$5</c:f>
              <c:numCache>
                <c:formatCode>General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0-46F1-A035-A99C3B242AC4}"/>
            </c:ext>
          </c:extLst>
        </c:ser>
        <c:ser>
          <c:idx val="1"/>
          <c:order val="1"/>
          <c:tx>
            <c:strRef>
              <c:f>Summary!$F$3</c:f>
              <c:strCache>
                <c:ptCount val="1"/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Summary!$D$4:$D$5</c:f>
              <c:strCache>
                <c:ptCount val="2"/>
                <c:pt idx="1">
                  <c:v>Sum - delay_days</c:v>
                </c:pt>
              </c:strCache>
            </c:strRef>
          </c:cat>
          <c:val>
            <c:numRef>
              <c:f>Summary!$F$4:$F$5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C760-46F1-A035-A99C3B242AC4}"/>
            </c:ext>
          </c:extLst>
        </c:ser>
        <c:ser>
          <c:idx val="2"/>
          <c:order val="2"/>
          <c:tx>
            <c:strRef>
              <c:f>Summary!$G$3</c:f>
              <c:strCache>
                <c:ptCount val="1"/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Summary!$D$4:$D$5</c:f>
              <c:strCache>
                <c:ptCount val="2"/>
                <c:pt idx="1">
                  <c:v>Sum - delay_days</c:v>
                </c:pt>
              </c:strCache>
            </c:strRef>
          </c:cat>
          <c:val>
            <c:numRef>
              <c:f>Summary!$G$4:$G$5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C760-46F1-A035-A99C3B242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58946"/>
        <c:axId val="25137992"/>
      </c:barChart>
      <c:catAx>
        <c:axId val="183589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Service Type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5137992"/>
        <c:crosses val="autoZero"/>
        <c:auto val="1"/>
        <c:lblAlgn val="ctr"/>
        <c:lblOffset val="100"/>
        <c:noMultiLvlLbl val="0"/>
      </c:catAx>
      <c:valAx>
        <c:axId val="25137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Delay Days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83589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</xdr:row>
      <xdr:rowOff>153300</xdr:rowOff>
    </xdr:from>
    <xdr:to>
      <xdr:col>0</xdr:col>
      <xdr:colOff>5151600</xdr:colOff>
      <xdr:row>25</xdr:row>
      <xdr:rowOff>167280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12">
  <cacheSource type="worksheet">
    <worksheetSource ref="A1:H13" sheet="Clean"/>
  </cacheSource>
  <cacheFields count="8">
    <cacheField name="record_id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" numFmtId="0">
      <sharedItems count="3">
        <s v="Feb"/>
        <s v="Jan"/>
        <s v="Mar"/>
      </sharedItems>
    </cacheField>
    <cacheField name="route_id" numFmtId="0">
      <sharedItems count="4">
        <s v="R1"/>
        <s v="R2"/>
        <s v="R3"/>
        <s v="R4"/>
      </sharedItems>
    </cacheField>
    <cacheField name="hub" numFmtId="0">
      <sharedItems count="3">
        <s v="Chennai"/>
        <s v="Delhi"/>
        <s v="Mumbai"/>
      </sharedItems>
    </cacheField>
    <cacheField name="promised_days" numFmtId="0">
      <sharedItems containsSemiMixedTypes="0" containsString="0" containsNumber="1" containsInteger="1" minValue="2" maxValue="6" count="4">
        <n v="2"/>
        <n v="3"/>
        <n v="5"/>
        <n v="6"/>
      </sharedItems>
    </cacheField>
    <cacheField name="actual_days" numFmtId="0">
      <sharedItems containsSemiMixedTypes="0" containsString="0" containsNumber="1" containsInteger="1" minValue="2" maxValue="15" count="8">
        <n v="2"/>
        <n v="3"/>
        <n v="4"/>
        <n v="5"/>
        <n v="7"/>
        <n v="8"/>
        <n v="10"/>
        <n v="15"/>
      </sharedItems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 count="8">
        <n v="0"/>
        <n v="1"/>
        <n v="2"/>
        <n v="3"/>
        <n v="4"/>
        <n v="5"/>
        <n v="6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1"/>
    <x v="0"/>
    <x v="2"/>
    <x v="0"/>
    <x v="0"/>
    <x v="0"/>
    <x v="0"/>
  </r>
  <r>
    <x v="1"/>
    <x v="1"/>
    <x v="1"/>
    <x v="0"/>
    <x v="1"/>
    <x v="2"/>
    <x v="0"/>
    <x v="1"/>
  </r>
  <r>
    <x v="2"/>
    <x v="1"/>
    <x v="2"/>
    <x v="1"/>
    <x v="3"/>
    <x v="6"/>
    <x v="1"/>
    <x v="4"/>
  </r>
  <r>
    <x v="3"/>
    <x v="1"/>
    <x v="3"/>
    <x v="2"/>
    <x v="0"/>
    <x v="3"/>
    <x v="1"/>
    <x v="3"/>
  </r>
  <r>
    <x v="4"/>
    <x v="0"/>
    <x v="0"/>
    <x v="0"/>
    <x v="0"/>
    <x v="3"/>
    <x v="0"/>
    <x v="3"/>
  </r>
  <r>
    <x v="5"/>
    <x v="0"/>
    <x v="1"/>
    <x v="1"/>
    <x v="1"/>
    <x v="1"/>
    <x v="0"/>
    <x v="0"/>
  </r>
  <r>
    <x v="6"/>
    <x v="0"/>
    <x v="2"/>
    <x v="1"/>
    <x v="2"/>
    <x v="6"/>
    <x v="1"/>
    <x v="5"/>
  </r>
  <r>
    <x v="7"/>
    <x v="0"/>
    <x v="3"/>
    <x v="0"/>
    <x v="3"/>
    <x v="4"/>
    <x v="1"/>
    <x v="1"/>
  </r>
  <r>
    <x v="8"/>
    <x v="2"/>
    <x v="0"/>
    <x v="1"/>
    <x v="0"/>
    <x v="5"/>
    <x v="0"/>
    <x v="6"/>
  </r>
  <r>
    <x v="9"/>
    <x v="2"/>
    <x v="1"/>
    <x v="2"/>
    <x v="1"/>
    <x v="3"/>
    <x v="0"/>
    <x v="2"/>
  </r>
  <r>
    <x v="10"/>
    <x v="2"/>
    <x v="2"/>
    <x v="0"/>
    <x v="2"/>
    <x v="3"/>
    <x v="1"/>
    <x v="0"/>
  </r>
  <r>
    <x v="11"/>
    <x v="2"/>
    <x v="3"/>
    <x v="2"/>
    <x v="3"/>
    <x v="7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layDaysPivot" cacheId="0" applyNumberFormats="0" applyBorderFormats="0" applyFontFormats="0" applyPatternFormats="0" applyAlignmentFormats="0" applyWidthHeightFormats="0" dataCaption="Values" showDrill="0" itemPrintTitles="1" indent="0" compact="0" outline="1" outlineData="1" compactData="0">
  <location ref="D5:H9" firstHeaderRow="1" firstDataRow="2" firstDataCol="1"/>
  <pivotFields count="8">
    <pivotField compact="0" showAll="0"/>
    <pivotField axis="axisCol" compact="0" showAll="0" defaultSubtotal="0">
      <items count="3">
        <item x="1"/>
        <item x="0"/>
        <item x="2"/>
      </items>
    </pivotField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dataField="1" compact="0" showAll="0"/>
  </pivotFields>
  <rowFields count="1">
    <field x="6"/>
  </rowFields>
  <rowItems count="3">
    <i>
      <x/>
    </i>
    <i>
      <x v="1"/>
    </i>
    <i t="grand">
      <x v="1048832"/>
    </i>
  </rowItems>
  <colFields count="1">
    <field x="1"/>
  </colFields>
  <colItems count="4">
    <i>
      <x/>
    </i>
    <i>
      <x v="1"/>
    </i>
    <i>
      <x v="2"/>
    </i>
    <i t="grand">
      <x v="1048832"/>
    </i>
  </colItems>
  <dataFields count="1">
    <dataField name="Sum - delay_days" fld="7" baseField="0" baseItem="0" numFmtId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8.7109375" defaultRowHeight="15" customHeight="1" x14ac:dyDescent="0.25"/>
  <cols>
    <col min="1" max="1" width="14.28515625" bestFit="1" customWidth="1"/>
    <col min="2" max="2" width="11.5703125" bestFit="1" customWidth="1"/>
    <col min="3" max="3" width="13.28515625" bestFit="1" customWidth="1"/>
    <col min="4" max="4" width="9.140625" bestFit="1" customWidth="1"/>
    <col min="5" max="5" width="19.5703125" bestFit="1" customWidth="1"/>
    <col min="6" max="6" width="16.28515625" bestFit="1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>
        <v>2</v>
      </c>
      <c r="F2" s="2">
        <v>2</v>
      </c>
    </row>
    <row r="3" spans="1:6" ht="15" customHeight="1" x14ac:dyDescent="0.25">
      <c r="A3" s="2">
        <v>2</v>
      </c>
      <c r="B3" s="2" t="s">
        <v>6</v>
      </c>
      <c r="C3" s="2" t="s">
        <v>9</v>
      </c>
      <c r="D3" s="2" t="s">
        <v>10</v>
      </c>
      <c r="E3" s="2">
        <v>3</v>
      </c>
      <c r="F3" s="2">
        <v>4</v>
      </c>
    </row>
    <row r="4" spans="1:6" ht="15" customHeight="1" x14ac:dyDescent="0.25">
      <c r="A4" s="2">
        <v>3</v>
      </c>
      <c r="B4" s="2" t="s">
        <v>6</v>
      </c>
      <c r="C4" s="2" t="s">
        <v>11</v>
      </c>
      <c r="D4" s="2" t="s">
        <v>12</v>
      </c>
      <c r="E4" s="2">
        <v>6</v>
      </c>
      <c r="F4" s="2">
        <v>10</v>
      </c>
    </row>
    <row r="5" spans="1:6" ht="15" customHeight="1" x14ac:dyDescent="0.25">
      <c r="A5" s="2">
        <v>4</v>
      </c>
      <c r="B5" s="2" t="s">
        <v>6</v>
      </c>
      <c r="C5" s="2" t="s">
        <v>13</v>
      </c>
      <c r="D5" s="2" t="s">
        <v>8</v>
      </c>
      <c r="E5" s="2">
        <v>2</v>
      </c>
      <c r="F5" s="2">
        <v>5</v>
      </c>
    </row>
    <row r="6" spans="1:6" ht="15" customHeight="1" x14ac:dyDescent="0.25">
      <c r="A6" s="2">
        <v>5</v>
      </c>
      <c r="B6" s="2" t="s">
        <v>14</v>
      </c>
      <c r="C6" s="2" t="s">
        <v>7</v>
      </c>
      <c r="D6" s="2" t="s">
        <v>10</v>
      </c>
      <c r="E6" s="2">
        <v>2</v>
      </c>
      <c r="F6" s="2">
        <v>5</v>
      </c>
    </row>
    <row r="7" spans="1:6" ht="15" customHeight="1" x14ac:dyDescent="0.25">
      <c r="A7" s="2">
        <v>6</v>
      </c>
      <c r="B7" s="2" t="s">
        <v>14</v>
      </c>
      <c r="C7" s="2" t="s">
        <v>9</v>
      </c>
      <c r="D7" s="2" t="s">
        <v>12</v>
      </c>
      <c r="E7" s="2">
        <v>3</v>
      </c>
      <c r="F7" s="2">
        <v>3</v>
      </c>
    </row>
    <row r="8" spans="1:6" ht="15" customHeight="1" x14ac:dyDescent="0.25">
      <c r="A8" s="2">
        <v>7</v>
      </c>
      <c r="B8" s="2" t="s">
        <v>14</v>
      </c>
      <c r="C8" s="2" t="s">
        <v>11</v>
      </c>
      <c r="D8" s="2" t="s">
        <v>12</v>
      </c>
      <c r="E8" s="2">
        <v>5</v>
      </c>
      <c r="F8" s="2">
        <v>10</v>
      </c>
    </row>
    <row r="9" spans="1:6" ht="15" customHeight="1" x14ac:dyDescent="0.25">
      <c r="A9" s="2">
        <v>8</v>
      </c>
      <c r="B9" s="2" t="s">
        <v>14</v>
      </c>
      <c r="C9" s="2" t="s">
        <v>13</v>
      </c>
      <c r="D9" s="2" t="s">
        <v>10</v>
      </c>
      <c r="E9" s="2">
        <v>6</v>
      </c>
      <c r="F9" s="2">
        <v>7</v>
      </c>
    </row>
    <row r="10" spans="1:6" ht="15" customHeight="1" x14ac:dyDescent="0.25">
      <c r="A10" s="2">
        <v>9</v>
      </c>
      <c r="B10" s="2" t="s">
        <v>15</v>
      </c>
      <c r="C10" s="2" t="s">
        <v>7</v>
      </c>
      <c r="D10" s="2" t="s">
        <v>12</v>
      </c>
      <c r="E10" s="2">
        <v>2</v>
      </c>
      <c r="F10" s="2">
        <v>8</v>
      </c>
    </row>
    <row r="11" spans="1:6" ht="15" customHeight="1" x14ac:dyDescent="0.25">
      <c r="A11" s="2">
        <v>10</v>
      </c>
      <c r="B11" s="2" t="s">
        <v>15</v>
      </c>
      <c r="C11" s="2" t="s">
        <v>9</v>
      </c>
      <c r="D11" s="2" t="s">
        <v>8</v>
      </c>
      <c r="E11" s="2">
        <v>3</v>
      </c>
      <c r="F11" s="2">
        <v>5</v>
      </c>
    </row>
    <row r="12" spans="1:6" ht="15" customHeight="1" x14ac:dyDescent="0.25">
      <c r="A12" s="2">
        <v>11</v>
      </c>
      <c r="B12" s="2" t="s">
        <v>15</v>
      </c>
      <c r="C12" s="2" t="s">
        <v>11</v>
      </c>
      <c r="D12" s="2" t="s">
        <v>10</v>
      </c>
      <c r="E12" s="2">
        <v>5</v>
      </c>
      <c r="F12" s="2">
        <v>5</v>
      </c>
    </row>
    <row r="13" spans="1:6" ht="15" customHeight="1" x14ac:dyDescent="0.25">
      <c r="A13" s="2">
        <v>12</v>
      </c>
      <c r="B13" s="2" t="s">
        <v>15</v>
      </c>
      <c r="C13" s="2" t="s">
        <v>13</v>
      </c>
      <c r="D13" s="2" t="s">
        <v>8</v>
      </c>
      <c r="E13" s="2">
        <v>6</v>
      </c>
      <c r="F13" s="2">
        <v>15</v>
      </c>
    </row>
    <row r="14" spans="1:6" ht="15" customHeight="1" x14ac:dyDescent="0.25">
      <c r="A14" s="2">
        <v>12</v>
      </c>
      <c r="B14" s="2" t="s">
        <v>15</v>
      </c>
      <c r="C14" s="2" t="s">
        <v>13</v>
      </c>
      <c r="D14" s="2" t="s">
        <v>8</v>
      </c>
      <c r="E14" s="2">
        <v>6</v>
      </c>
      <c r="F14" s="2">
        <v>15</v>
      </c>
    </row>
  </sheetData>
  <autoFilter ref="A1:F14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ColWidth="8.7109375" defaultRowHeight="15" customHeight="1" x14ac:dyDescent="0.25"/>
  <cols>
    <col min="1" max="1" width="13.28515625" bestFit="1" customWidth="1"/>
    <col min="2" max="2" width="14" bestFit="1" customWidth="1"/>
    <col min="3" max="3" width="17.140625" bestFit="1" customWidth="1"/>
  </cols>
  <sheetData>
    <row r="1" spans="1:3" ht="15" customHeight="1" x14ac:dyDescent="0.25">
      <c r="A1" s="1" t="s">
        <v>2</v>
      </c>
      <c r="B1" s="1" t="s">
        <v>16</v>
      </c>
      <c r="C1" s="1" t="s">
        <v>17</v>
      </c>
    </row>
    <row r="2" spans="1:3" ht="15" customHeight="1" x14ac:dyDescent="0.25">
      <c r="A2" s="2" t="s">
        <v>7</v>
      </c>
      <c r="B2" s="2" t="s">
        <v>18</v>
      </c>
      <c r="C2" s="2" t="s">
        <v>19</v>
      </c>
    </row>
    <row r="3" spans="1:3" ht="15" customHeight="1" x14ac:dyDescent="0.25">
      <c r="A3" s="2" t="s">
        <v>9</v>
      </c>
      <c r="B3" s="2" t="s">
        <v>20</v>
      </c>
      <c r="C3" s="2" t="s">
        <v>19</v>
      </c>
    </row>
    <row r="4" spans="1:3" ht="15" customHeight="1" x14ac:dyDescent="0.25">
      <c r="A4" s="2" t="s">
        <v>11</v>
      </c>
      <c r="B4" s="2" t="s">
        <v>21</v>
      </c>
      <c r="C4" s="2" t="s">
        <v>22</v>
      </c>
    </row>
    <row r="5" spans="1:3" ht="15" customHeight="1" x14ac:dyDescent="0.25">
      <c r="A5" s="2" t="s">
        <v>13</v>
      </c>
      <c r="B5" s="2" t="s">
        <v>23</v>
      </c>
      <c r="C5" s="2" t="s">
        <v>22</v>
      </c>
    </row>
  </sheetData>
  <autoFilter ref="A1:C5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Normal="100" workbookViewId="0">
      <pane ySplit="1" topLeftCell="A4" activePane="bottomLeft" state="frozen"/>
      <selection pane="bottomLeft" activeCell="C39" sqref="C39"/>
    </sheetView>
  </sheetViews>
  <sheetFormatPr defaultColWidth="8.7109375" defaultRowHeight="15" customHeight="1" x14ac:dyDescent="0.25"/>
  <cols>
    <col min="1" max="1" width="14.28515625" bestFit="1" customWidth="1"/>
    <col min="2" max="2" width="11.5703125" bestFit="1" customWidth="1"/>
    <col min="3" max="3" width="13.28515625" bestFit="1" customWidth="1"/>
    <col min="4" max="4" width="9.140625" bestFit="1" customWidth="1"/>
    <col min="5" max="5" width="19.5703125" bestFit="1" customWidth="1"/>
    <col min="6" max="6" width="16.28515625" bestFit="1" customWidth="1"/>
    <col min="7" max="7" width="17.140625" bestFit="1" customWidth="1"/>
    <col min="8" max="8" width="15.7109375" bestFit="1" customWidth="1"/>
    <col min="10" max="10" width="24.7109375" bestFit="1" customWidth="1"/>
    <col min="11" max="11" width="3" bestFit="1" customWidth="1"/>
  </cols>
  <sheetData>
    <row r="1" spans="1:11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17</v>
      </c>
      <c r="H1" s="3" t="s">
        <v>24</v>
      </c>
      <c r="J1" s="4" t="s">
        <v>25</v>
      </c>
    </row>
    <row r="2" spans="1:11" ht="15" customHeight="1" x14ac:dyDescent="0.25">
      <c r="A2" s="5">
        <v>1</v>
      </c>
      <c r="B2" s="2" t="s">
        <v>6</v>
      </c>
      <c r="C2" s="2" t="s">
        <v>7</v>
      </c>
      <c r="D2" s="2" t="s">
        <v>8</v>
      </c>
      <c r="E2" s="5">
        <v>2</v>
      </c>
      <c r="F2" s="5">
        <v>2</v>
      </c>
      <c r="G2" s="2" t="str">
        <f>INDEX(Lookup!$C$2:$C$5,MATCH(C2,Lookup!$A$2:$A$5,0))</f>
        <v>Express</v>
      </c>
      <c r="H2" s="5">
        <f t="shared" ref="H2:H13" si="0">MAX(F2-E2,0)</f>
        <v>0</v>
      </c>
      <c r="J2" s="6" t="s">
        <v>26</v>
      </c>
      <c r="K2" s="7">
        <f>COUNTA(A2:A14)</f>
        <v>12</v>
      </c>
    </row>
    <row r="3" spans="1:11" ht="15" customHeight="1" x14ac:dyDescent="0.25">
      <c r="A3" s="5">
        <v>2</v>
      </c>
      <c r="B3" s="2" t="s">
        <v>6</v>
      </c>
      <c r="C3" s="2" t="s">
        <v>9</v>
      </c>
      <c r="D3" s="2" t="s">
        <v>10</v>
      </c>
      <c r="E3" s="5">
        <v>3</v>
      </c>
      <c r="F3" s="5">
        <v>4</v>
      </c>
      <c r="G3" s="2" t="str">
        <f>INDEX(Lookup!$C$2:$C$5,MATCH(C3,Lookup!$A$2:$A$5,0))</f>
        <v>Express</v>
      </c>
      <c r="H3" s="5">
        <f t="shared" si="0"/>
        <v>1</v>
      </c>
      <c r="J3" s="6" t="s">
        <v>27</v>
      </c>
      <c r="K3" s="7">
        <f>COUNTA(A2:A13)</f>
        <v>12</v>
      </c>
    </row>
    <row r="4" spans="1:11" ht="15" customHeight="1" x14ac:dyDescent="0.25">
      <c r="A4" s="5">
        <v>3</v>
      </c>
      <c r="B4" s="2" t="s">
        <v>6</v>
      </c>
      <c r="C4" s="2" t="s">
        <v>11</v>
      </c>
      <c r="D4" s="2" t="s">
        <v>12</v>
      </c>
      <c r="E4" s="5">
        <v>6</v>
      </c>
      <c r="F4" s="5">
        <v>10</v>
      </c>
      <c r="G4" s="2" t="str">
        <f>INDEX(Lookup!$C$2:$C$5,MATCH(C4,Lookup!$A$2:$A$5,0))</f>
        <v>Standard</v>
      </c>
      <c r="H4" s="5">
        <f t="shared" si="0"/>
        <v>4</v>
      </c>
      <c r="J4" s="6" t="s">
        <v>28</v>
      </c>
      <c r="K4" s="7">
        <f>K2-K3</f>
        <v>0</v>
      </c>
    </row>
    <row r="5" spans="1:11" ht="15" customHeight="1" x14ac:dyDescent="0.25">
      <c r="A5" s="5">
        <v>4</v>
      </c>
      <c r="B5" s="2" t="s">
        <v>6</v>
      </c>
      <c r="C5" s="2" t="s">
        <v>13</v>
      </c>
      <c r="D5" s="2" t="s">
        <v>8</v>
      </c>
      <c r="E5" s="5">
        <v>2</v>
      </c>
      <c r="F5" s="5">
        <v>5</v>
      </c>
      <c r="G5" s="2" t="str">
        <f>INDEX(Lookup!$C$2:$C$5,MATCH(C5,Lookup!$A$2:$A$5,0))</f>
        <v>Standard</v>
      </c>
      <c r="H5" s="5">
        <f t="shared" si="0"/>
        <v>3</v>
      </c>
    </row>
    <row r="6" spans="1:11" ht="15" customHeight="1" x14ac:dyDescent="0.25">
      <c r="A6" s="5">
        <v>5</v>
      </c>
      <c r="B6" s="2" t="s">
        <v>14</v>
      </c>
      <c r="C6" s="2" t="s">
        <v>7</v>
      </c>
      <c r="D6" s="2" t="s">
        <v>10</v>
      </c>
      <c r="E6" s="5">
        <v>2</v>
      </c>
      <c r="F6" s="5">
        <v>5</v>
      </c>
      <c r="G6" s="2" t="str">
        <f>INDEX(Lookup!$C$2:$C$5,MATCH(C6,Lookup!$A$2:$A$5,0))</f>
        <v>Express</v>
      </c>
      <c r="H6" s="5">
        <f t="shared" si="0"/>
        <v>3</v>
      </c>
      <c r="J6" s="8" t="s">
        <v>29</v>
      </c>
      <c r="K6">
        <f>COUNTA(Raw!A2:A14)</f>
        <v>13</v>
      </c>
    </row>
    <row r="7" spans="1:11" ht="15" customHeight="1" x14ac:dyDescent="0.25">
      <c r="A7" s="5">
        <v>6</v>
      </c>
      <c r="B7" s="2" t="s">
        <v>14</v>
      </c>
      <c r="C7" s="2" t="s">
        <v>9</v>
      </c>
      <c r="D7" s="2" t="s">
        <v>12</v>
      </c>
      <c r="E7" s="5">
        <v>3</v>
      </c>
      <c r="F7" s="5">
        <v>3</v>
      </c>
      <c r="G7" s="2" t="str">
        <f>INDEX(Lookup!$C$2:$C$5,MATCH(C7,Lookup!$A$2:$A$5,0))</f>
        <v>Express</v>
      </c>
      <c r="H7" s="5">
        <f t="shared" si="0"/>
        <v>0</v>
      </c>
      <c r="J7" s="8" t="s">
        <v>30</v>
      </c>
      <c r="K7">
        <f>COUNTA(A2:A13)</f>
        <v>12</v>
      </c>
    </row>
    <row r="8" spans="1:11" ht="15" customHeight="1" x14ac:dyDescent="0.25">
      <c r="A8" s="5">
        <v>7</v>
      </c>
      <c r="B8" s="2" t="s">
        <v>14</v>
      </c>
      <c r="C8" s="2" t="s">
        <v>11</v>
      </c>
      <c r="D8" s="2" t="s">
        <v>12</v>
      </c>
      <c r="E8" s="5">
        <v>5</v>
      </c>
      <c r="F8" s="5">
        <v>10</v>
      </c>
      <c r="G8" s="2" t="str">
        <f>INDEX(Lookup!$C$2:$C$5,MATCH(C8,Lookup!$A$2:$A$5,0))</f>
        <v>Standard</v>
      </c>
      <c r="H8" s="5">
        <f t="shared" si="0"/>
        <v>5</v>
      </c>
    </row>
    <row r="9" spans="1:11" ht="15" customHeight="1" x14ac:dyDescent="0.25">
      <c r="A9" s="5">
        <v>8</v>
      </c>
      <c r="B9" s="2" t="s">
        <v>14</v>
      </c>
      <c r="C9" s="2" t="s">
        <v>13</v>
      </c>
      <c r="D9" s="2" t="s">
        <v>10</v>
      </c>
      <c r="E9" s="5">
        <v>6</v>
      </c>
      <c r="F9" s="5">
        <v>7</v>
      </c>
      <c r="G9" s="2" t="str">
        <f>INDEX(Lookup!$C$2:$C$5,MATCH(C9,Lookup!$A$2:$A$5,0))</f>
        <v>Standard</v>
      </c>
      <c r="H9" s="5">
        <f t="shared" si="0"/>
        <v>1</v>
      </c>
    </row>
    <row r="10" spans="1:11" ht="15" customHeight="1" x14ac:dyDescent="0.25">
      <c r="A10" s="5">
        <v>9</v>
      </c>
      <c r="B10" s="2" t="s">
        <v>15</v>
      </c>
      <c r="C10" s="2" t="s">
        <v>7</v>
      </c>
      <c r="D10" s="2" t="s">
        <v>12</v>
      </c>
      <c r="E10" s="5">
        <v>2</v>
      </c>
      <c r="F10" s="5">
        <v>8</v>
      </c>
      <c r="G10" s="2" t="str">
        <f>INDEX(Lookup!$C$2:$C$5,MATCH(C10,Lookup!$A$2:$A$5,0))</f>
        <v>Express</v>
      </c>
      <c r="H10" s="5">
        <f t="shared" si="0"/>
        <v>6</v>
      </c>
    </row>
    <row r="11" spans="1:11" ht="15" customHeight="1" x14ac:dyDescent="0.25">
      <c r="A11" s="5">
        <v>10</v>
      </c>
      <c r="B11" s="2" t="s">
        <v>15</v>
      </c>
      <c r="C11" s="2" t="s">
        <v>9</v>
      </c>
      <c r="D11" s="2" t="s">
        <v>8</v>
      </c>
      <c r="E11" s="5">
        <v>3</v>
      </c>
      <c r="F11" s="5">
        <v>5</v>
      </c>
      <c r="G11" s="2" t="str">
        <f>INDEX(Lookup!$C$2:$C$5,MATCH(C11,Lookup!$A$2:$A$5,0))</f>
        <v>Express</v>
      </c>
      <c r="H11" s="5">
        <f t="shared" si="0"/>
        <v>2</v>
      </c>
    </row>
    <row r="12" spans="1:11" ht="15" customHeight="1" x14ac:dyDescent="0.25">
      <c r="A12" s="5">
        <v>11</v>
      </c>
      <c r="B12" s="2" t="s">
        <v>15</v>
      </c>
      <c r="C12" s="2" t="s">
        <v>11</v>
      </c>
      <c r="D12" s="2" t="s">
        <v>10</v>
      </c>
      <c r="E12" s="5">
        <v>5</v>
      </c>
      <c r="F12" s="5">
        <v>5</v>
      </c>
      <c r="G12" s="2" t="str">
        <f>INDEX(Lookup!$C$2:$C$5,MATCH(C12,Lookup!$A$2:$A$5,0))</f>
        <v>Standard</v>
      </c>
      <c r="H12" s="5">
        <f t="shared" si="0"/>
        <v>0</v>
      </c>
    </row>
    <row r="13" spans="1:11" ht="15" customHeight="1" x14ac:dyDescent="0.25">
      <c r="A13" s="5">
        <v>12</v>
      </c>
      <c r="B13" s="2" t="s">
        <v>15</v>
      </c>
      <c r="C13" s="2" t="s">
        <v>13</v>
      </c>
      <c r="D13" s="2" t="s">
        <v>8</v>
      </c>
      <c r="E13" s="5">
        <v>6</v>
      </c>
      <c r="F13" s="5">
        <v>15</v>
      </c>
      <c r="G13" s="2" t="str">
        <f>INDEX(Lookup!$C$2:$C$5,MATCH(C13,Lookup!$A$2:$A$5,0))</f>
        <v>Standard</v>
      </c>
      <c r="H13" s="5">
        <f t="shared" si="0"/>
        <v>9</v>
      </c>
    </row>
  </sheetData>
  <autoFilter ref="A1:H13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Normal="100" workbookViewId="0">
      <selection activeCell="C11" sqref="C11"/>
    </sheetView>
  </sheetViews>
  <sheetFormatPr defaultColWidth="8.7109375" defaultRowHeight="15" customHeight="1" x14ac:dyDescent="0.25"/>
  <cols>
    <col min="1" max="1" width="84.7109375" bestFit="1" customWidth="1"/>
    <col min="2" max="2" width="16.85546875" bestFit="1" customWidth="1"/>
    <col min="4" max="4" width="15.85546875" bestFit="1" customWidth="1"/>
    <col min="5" max="5" width="8.85546875" bestFit="1" customWidth="1"/>
    <col min="6" max="6" width="4" bestFit="1" customWidth="1"/>
    <col min="7" max="7" width="4.42578125" bestFit="1" customWidth="1"/>
    <col min="8" max="8" width="10.7109375" bestFit="1" customWidth="1"/>
  </cols>
  <sheetData>
    <row r="1" spans="1:8" ht="18" x14ac:dyDescent="0.25">
      <c r="A1" s="35" t="s">
        <v>31</v>
      </c>
      <c r="B1" s="35"/>
      <c r="D1" s="35" t="s">
        <v>32</v>
      </c>
      <c r="E1" s="35"/>
      <c r="F1" s="35"/>
      <c r="G1" s="35"/>
    </row>
    <row r="3" spans="1:8" x14ac:dyDescent="0.25">
      <c r="A3" s="4" t="s">
        <v>33</v>
      </c>
      <c r="B3" s="4" t="s">
        <v>34</v>
      </c>
      <c r="D3" t="s">
        <v>35</v>
      </c>
    </row>
    <row r="4" spans="1:8" x14ac:dyDescent="0.25">
      <c r="A4" s="9" t="s">
        <v>10</v>
      </c>
      <c r="B4" s="10">
        <f>SUMIFS(Clean!$H$2:$H$13,Clean!$D$2:$D$13,A4)</f>
        <v>5</v>
      </c>
    </row>
    <row r="5" spans="1:8" x14ac:dyDescent="0.25">
      <c r="A5" s="9" t="s">
        <v>12</v>
      </c>
      <c r="B5" s="10">
        <f>SUMIFS(Clean!$H$2:$H$13,Clean!$D$2:$D$13,A5)</f>
        <v>15</v>
      </c>
      <c r="D5" s="11" t="s">
        <v>36</v>
      </c>
      <c r="E5" s="12" t="s">
        <v>1</v>
      </c>
      <c r="F5" s="13"/>
      <c r="G5" s="13"/>
      <c r="H5" s="14"/>
    </row>
    <row r="6" spans="1:8" x14ac:dyDescent="0.25">
      <c r="A6" s="9" t="s">
        <v>8</v>
      </c>
      <c r="B6" s="10">
        <f>SUMIFS(Clean!$H$2:$H$13,Clean!$D$2:$D$13,A6)</f>
        <v>14</v>
      </c>
      <c r="D6" s="15" t="s">
        <v>17</v>
      </c>
      <c r="E6" s="16" t="s">
        <v>6</v>
      </c>
      <c r="F6" s="17" t="s">
        <v>14</v>
      </c>
      <c r="G6" s="17" t="s">
        <v>15</v>
      </c>
      <c r="H6" s="18" t="s">
        <v>37</v>
      </c>
    </row>
    <row r="7" spans="1:8" x14ac:dyDescent="0.25">
      <c r="D7" s="19" t="s">
        <v>19</v>
      </c>
      <c r="E7" s="20">
        <v>1</v>
      </c>
      <c r="F7" s="21">
        <v>3</v>
      </c>
      <c r="G7" s="22">
        <v>8</v>
      </c>
      <c r="H7" s="23">
        <v>12</v>
      </c>
    </row>
    <row r="8" spans="1:8" x14ac:dyDescent="0.25">
      <c r="A8" s="24" t="s">
        <v>38</v>
      </c>
      <c r="D8" s="25" t="s">
        <v>22</v>
      </c>
      <c r="E8" s="26">
        <v>7</v>
      </c>
      <c r="F8" s="27">
        <v>6</v>
      </c>
      <c r="G8" s="28">
        <v>9</v>
      </c>
      <c r="H8" s="29">
        <v>22</v>
      </c>
    </row>
    <row r="9" spans="1:8" x14ac:dyDescent="0.25">
      <c r="D9" s="30" t="s">
        <v>37</v>
      </c>
      <c r="E9" s="31">
        <v>8</v>
      </c>
      <c r="F9" s="32">
        <v>9</v>
      </c>
      <c r="G9" s="33">
        <v>17</v>
      </c>
      <c r="H9" s="34">
        <v>34</v>
      </c>
    </row>
  </sheetData>
  <mergeCells count="2">
    <mergeCell ref="A1:B1"/>
    <mergeCell ref="D1:G1"/>
  </mergeCells>
  <pageMargins left="0.75" right="0.75" top="1" bottom="1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Analysis — Deliveries</dc:title>
  <dc:subject>Data import, cleaning, XLOOKUP/INDEX-MATCH, delay summary and PivotTable</dc:subject>
  <dc:creator>OpenAI</dc:creator>
  <dc:description/>
  <cp:lastModifiedBy>mitudiyora@gmail.com</cp:lastModifiedBy>
  <cp:revision>2</cp:revision>
  <dcterms:created xsi:type="dcterms:W3CDTF">2026-09-26T04:49:46Z</dcterms:created>
  <dcterms:modified xsi:type="dcterms:W3CDTF">2026-09-26T06:17:45Z</dcterms:modified>
  <dc:language>en-US</dc:language>
</cp:coreProperties>
</file>